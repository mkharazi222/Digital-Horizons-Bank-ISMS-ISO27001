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Assessment Details" sheetId="1" r:id="rId1"/>
    <sheet name="Risk Assessment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Ken Holmes</author>
    <author>Mark Clifton</author>
  </authors>
  <commentList>
    <comment ref="A12" authorId="0">
      <text>
        <r>
          <rPr>
            <b/>
            <sz val="9"/>
            <rFont val="Tahoma"/>
            <charset val="134"/>
          </rPr>
          <t>This section describes the nature of the risk and, as required by the ISO27001 standard, the risk owner.</t>
        </r>
      </text>
    </comment>
    <comment ref="H12" authorId="0">
      <text>
        <r>
          <rPr>
            <b/>
            <sz val="9"/>
            <rFont val="Tahoma"/>
            <charset val="134"/>
          </rPr>
          <t>This is an assessment of the level of current risk, taking into account any controls already in place to address it.</t>
        </r>
      </text>
    </comment>
    <comment ref="O12" authorId="0">
      <text>
        <r>
          <rPr>
            <b/>
            <sz val="9"/>
            <rFont val="Tahoma"/>
            <charset val="134"/>
          </rPr>
          <t>For those risks that are not accepted, a plan must be in place to take action to address the risk.</t>
        </r>
      </text>
    </comment>
    <comment ref="W12" authorId="0">
      <text>
        <r>
          <rPr>
            <b/>
            <sz val="9"/>
            <rFont val="Tahoma"/>
            <charset val="134"/>
          </rPr>
          <t>This section is used to assess what the level of risk will be, once the treatment actions have been carried out.</t>
        </r>
      </text>
    </comment>
    <comment ref="A13" authorId="0">
      <text>
        <r>
          <rPr>
            <b/>
            <sz val="9"/>
            <rFont val="Tahoma"/>
            <charset val="134"/>
          </rPr>
          <t>Enter a reference number here.</t>
        </r>
      </text>
    </comment>
    <comment ref="B13" authorId="0">
      <text>
        <r>
          <rPr>
            <b/>
            <sz val="9"/>
            <rFont val="Tahoma"/>
            <charset val="134"/>
          </rPr>
          <t>The logical collection of assets that is under consideration.</t>
        </r>
      </text>
    </comment>
    <comment ref="C13" authorId="0">
      <text>
        <r>
          <rPr>
            <b/>
            <sz val="9"/>
            <rFont val="Tahoma"/>
            <charset val="134"/>
          </rPr>
          <t>The individual asset (or sub-group) that is being assessed.</t>
        </r>
      </text>
    </comment>
    <comment ref="D13" authorId="1">
      <text>
        <r>
          <rPr>
            <b/>
            <sz val="9"/>
            <rFont val="Tahoma"/>
            <charset val="134"/>
          </rPr>
          <t>What may happen if the asset's vulnerabilities are exploited by a specific entity.</t>
        </r>
        <r>
          <rPr>
            <sz val="9"/>
            <rFont val="Tahoma"/>
            <charset val="134"/>
          </rPr>
          <t xml:space="preserve">
</t>
        </r>
      </text>
    </comment>
    <comment ref="E13" authorId="1">
      <text>
        <r>
          <rPr>
            <b/>
            <sz val="9"/>
            <rFont val="Tahoma"/>
            <charset val="134"/>
          </rPr>
          <t>A weakness that could be exploited by a threat to expose the asset to compromise.</t>
        </r>
      </text>
    </comment>
    <comment ref="F13" authorId="0">
      <text>
        <r>
          <rPr>
            <b/>
            <sz val="9"/>
            <rFont val="Tahoma"/>
            <charset val="134"/>
          </rPr>
          <t>Is this a risk to:
C = Confidentiality
I = Integrity
A = Availability
or a combination of these?</t>
        </r>
      </text>
    </comment>
    <comment ref="G13" authorId="0">
      <text>
        <r>
          <rPr>
            <b/>
            <sz val="9"/>
            <rFont val="Tahoma"/>
            <charset val="134"/>
          </rPr>
          <t>Name of the person responsible for the risk.</t>
        </r>
      </text>
    </comment>
    <comment ref="H13" authorId="0">
      <text>
        <r>
          <rPr>
            <b/>
            <sz val="9"/>
            <rFont val="Tahoma"/>
            <charset val="134"/>
          </rPr>
          <t>Existing controls which could lessen the risk likelihood and/or impact.</t>
        </r>
      </text>
    </comment>
    <comment ref="I13" authorId="0">
      <text>
        <r>
          <rPr>
            <b/>
            <sz val="9"/>
            <rFont val="Tahoma"/>
            <charset val="134"/>
          </rPr>
          <t>Select a score from 1 to 5, where 1 is a low likelihood and 5 is high.</t>
        </r>
      </text>
    </comment>
    <comment ref="J13" authorId="0">
      <text>
        <r>
          <rPr>
            <b/>
            <sz val="9"/>
            <rFont val="Tahoma"/>
            <charset val="134"/>
          </rPr>
          <t>Reasoning for giving that likelihood score.</t>
        </r>
      </text>
    </comment>
    <comment ref="K13" authorId="0">
      <text>
        <r>
          <rPr>
            <b/>
            <sz val="9"/>
            <rFont val="Tahoma"/>
            <charset val="134"/>
          </rPr>
          <t>Select a score from 1 to 5, where 1 is low impact and 5 is high.</t>
        </r>
      </text>
    </comment>
    <comment ref="L13" authorId="0">
      <text>
        <r>
          <rPr>
            <b/>
            <sz val="9"/>
            <rFont val="Tahoma"/>
            <charset val="134"/>
          </rPr>
          <t>Brief explanation of why the impact score was assigned.</t>
        </r>
      </text>
    </comment>
    <comment ref="M13" authorId="0">
      <text>
        <r>
          <rPr>
            <b/>
            <sz val="9"/>
            <rFont val="Tahoma"/>
            <charset val="134"/>
          </rPr>
          <t>Risk score of between 1 and 25. This field will be automatically generated.</t>
        </r>
      </text>
    </comment>
    <comment ref="N13" authorId="0">
      <text>
        <r>
          <rPr>
            <b/>
            <sz val="9"/>
            <rFont val="Tahoma"/>
            <charset val="134"/>
          </rPr>
          <t>Risk level of low, medium or high, depending on the risk score. This field will be automatically generated.</t>
        </r>
      </text>
    </comment>
    <comment ref="O13" authorId="0">
      <text>
        <r>
          <rPr>
            <b/>
            <sz val="9"/>
            <rFont val="Tahoma"/>
            <charset val="134"/>
          </rPr>
          <t>Select a risk treatment option from the drop-down menu.</t>
        </r>
      </text>
    </comment>
    <comment ref="P13" authorId="0">
      <text>
        <r>
          <rPr>
            <b/>
            <sz val="9"/>
            <rFont val="Tahoma"/>
            <charset val="134"/>
          </rPr>
          <t xml:space="preserve">If appropriate, record the proposed controls intended to address the risk. These may be guided by ISO27001 Annex A reference controls, or taken from another source. </t>
        </r>
      </text>
    </comment>
    <comment ref="Q13" authorId="0">
      <text>
        <r>
          <rPr>
            <b/>
            <sz val="9"/>
            <rFont val="Tahoma"/>
            <charset val="134"/>
          </rPr>
          <t>If appropriate, give the specific reference information of the control(s) used to address the risk.</t>
        </r>
      </text>
    </comment>
    <comment ref="R13" authorId="0">
      <text>
        <r>
          <rPr>
            <b/>
            <sz val="9"/>
            <rFont val="Tahoma"/>
            <charset val="134"/>
          </rPr>
          <t>How much money will the proposed control cost?</t>
        </r>
      </text>
    </comment>
    <comment ref="S13" authorId="0">
      <text>
        <r>
          <rPr>
            <b/>
            <sz val="9"/>
            <rFont val="Tahoma"/>
            <charset val="134"/>
          </rPr>
          <t>The person or role tasked with completing the treatment action.</t>
        </r>
      </text>
    </comment>
    <comment ref="T13" authorId="0">
      <text>
        <r>
          <rPr>
            <b/>
            <sz val="9"/>
            <rFont val="Tahoma"/>
            <charset val="134"/>
          </rPr>
          <t>The date or timeframe by which the treatment action must be completed.</t>
        </r>
      </text>
    </comment>
    <comment ref="U13" authorId="0">
      <text>
        <r>
          <rPr>
            <b/>
            <sz val="9"/>
            <rFont val="Tahoma"/>
            <charset val="134"/>
          </rPr>
          <t>A dated narrative of progress towards the completion of the treatment action.</t>
        </r>
      </text>
    </comment>
    <comment ref="V13" authorId="0">
      <text>
        <r>
          <rPr>
            <b/>
            <sz val="9"/>
            <rFont val="Tahoma"/>
            <charset val="134"/>
          </rPr>
          <t>Whether the treatment action has been completed.</t>
        </r>
      </text>
    </comment>
    <comment ref="W13" authorId="0">
      <text>
        <r>
          <rPr>
            <b/>
            <sz val="9"/>
            <rFont val="Tahoma"/>
            <charset val="134"/>
          </rPr>
          <t>Select a score from 1 to 5, where 1 is a low likelihood and 5 is high.</t>
        </r>
      </text>
    </comment>
    <comment ref="X13" authorId="0">
      <text>
        <r>
          <rPr>
            <b/>
            <sz val="9"/>
            <rFont val="Tahoma"/>
            <charset val="134"/>
          </rPr>
          <t>Reasoning for giving that likelihood score.</t>
        </r>
      </text>
    </comment>
    <comment ref="Y13" authorId="0">
      <text>
        <r>
          <rPr>
            <b/>
            <sz val="9"/>
            <rFont val="Tahoma"/>
            <charset val="134"/>
          </rPr>
          <t>Select a score from 1 to 5, where 1 is low impact and 5 is high.</t>
        </r>
      </text>
    </comment>
    <comment ref="Z13" authorId="0">
      <text>
        <r>
          <rPr>
            <b/>
            <sz val="9"/>
            <rFont val="Tahoma"/>
            <charset val="134"/>
          </rPr>
          <t>Reasoning for giving that impact score.</t>
        </r>
      </text>
    </comment>
    <comment ref="AA13" authorId="0">
      <text>
        <r>
          <rPr>
            <b/>
            <sz val="9"/>
            <rFont val="Tahoma"/>
            <charset val="134"/>
          </rPr>
          <t>Risk score of between 1 and 25. This field will be automatically generated.</t>
        </r>
      </text>
    </comment>
    <comment ref="AB13" authorId="0">
      <text>
        <r>
          <rPr>
            <b/>
            <sz val="9"/>
            <rFont val="Tahoma"/>
            <charset val="134"/>
          </rPr>
          <t>Risk level of low, medium or high, depending on the risk score. This field will be automatically generated.</t>
        </r>
      </text>
    </comment>
    <comment ref="AC13" authorId="0">
      <text>
        <r>
          <rPr>
            <b/>
            <sz val="9"/>
            <rFont val="Tahoma"/>
            <charset val="134"/>
          </rPr>
          <t>Enter any other comments here.</t>
        </r>
      </text>
    </comment>
  </commentList>
</comments>
</file>

<file path=xl/sharedStrings.xml><?xml version="1.0" encoding="utf-8"?>
<sst xmlns="http://schemas.openxmlformats.org/spreadsheetml/2006/main" count="238" uniqueCount="201">
  <si>
    <t>Assessment Details</t>
  </si>
  <si>
    <t xml:space="preserve">Security Classification
</t>
  </si>
  <si>
    <t>داخلي - سري (Internal Confidential)</t>
  </si>
  <si>
    <t xml:space="preserve">Risk Assessment Title
</t>
  </si>
  <si>
    <t>تقييم مخاطر أمن المعلومات - بنك الآفاق الرقمية (ISO/IEC 27001:2022)</t>
  </si>
  <si>
    <t xml:space="preserve">Risk Assessment Scope
</t>
  </si>
  <si>
    <t>مركز البيانات الرئيسي بالرياض، مركز العمليات الأمنية (SOC)، مركز التعافي من الكوارث بجدة، الفروع الـ 25، تطبيق آفاق بلس للهاتف، منصة آفاق نت، ونظام المعاملات المصرفية الأساسي والخدمات السحابية.</t>
  </si>
  <si>
    <t>Context of Risk Assessment</t>
  </si>
  <si>
    <t>بيئة مصرفية خاضعة لرقابة البنك المركزي السعودي (ساما) وهيئة البيانات والذكاء الاصطناعي (سدايا)، تواجه تهديدات سيبرانية تستهدف القطاع المالي.</t>
  </si>
  <si>
    <t>Risk Acceptance Criteria</t>
  </si>
  <si>
    <t>رفض تام (Zero-tolerance) للمخاطر الحرجة والعالية (&gt;10)، وقبول مشروط ومراقب للمخاطر المنخفضة (1-4)</t>
  </si>
  <si>
    <t xml:space="preserve">Version
</t>
  </si>
  <si>
    <t xml:space="preserve">Dated
</t>
  </si>
  <si>
    <t>12 سبتمبر 2026</t>
  </si>
  <si>
    <t xml:space="preserve">Risk Assessors
</t>
  </si>
  <si>
    <t>ملاك (رئيس فريق تقييم المخاطر) وفريق نظام إدارة أمن المعلومات</t>
  </si>
  <si>
    <t>Risk Assessment Participants</t>
  </si>
  <si>
    <t>سارة الحربي (مديرة أمن المعلومات)، فهد العتيبي (مدير تقنية المعلومات)، خالد الشمري (مدير الموارد البشرية)، ليلى الدوسري (مديرة الشؤون القانونية)</t>
  </si>
  <si>
    <t xml:space="preserve">Approval
</t>
  </si>
  <si>
    <t>الدكتورة نورة القحطاني (الرئيس التنفيذي) ومجلس الإدارة</t>
  </si>
  <si>
    <t xml:space="preserve">Date Approved
</t>
  </si>
  <si>
    <t>Asset-Based Risk Assessment and Treatment Tool</t>
  </si>
  <si>
    <t>Start with your most valuable assets and the most likely threats that will cause the highest impact.</t>
  </si>
  <si>
    <t>To refresh chart data on the risk dashboard, click on “Refresh All” on the Data ribbon.</t>
  </si>
  <si>
    <t xml:space="preserve"> RISK DESCRIPTION</t>
  </si>
  <si>
    <t xml:space="preserve"> PRE-TREATMENT ASSESSMENT</t>
  </si>
  <si>
    <t xml:space="preserve"> TREATMENT PLAN</t>
  </si>
  <si>
    <t xml:space="preserve"> POST-TREATMENT ASSESSMENT</t>
  </si>
  <si>
    <t>Ref</t>
  </si>
  <si>
    <t>Asset Group</t>
  </si>
  <si>
    <t>Asset</t>
  </si>
  <si>
    <t>Threat</t>
  </si>
  <si>
    <t>Vulnerability</t>
  </si>
  <si>
    <t>Risk Type</t>
  </si>
  <si>
    <t>Risk Owner</t>
  </si>
  <si>
    <t>Existing Controls</t>
  </si>
  <si>
    <t>Likelihood</t>
  </si>
  <si>
    <t>Likelihood Rationale</t>
  </si>
  <si>
    <t>Impact</t>
  </si>
  <si>
    <t>Impact Rationale</t>
  </si>
  <si>
    <t>Risk Score</t>
  </si>
  <si>
    <t>Risk Level</t>
  </si>
  <si>
    <t>Treatment Option Chosen</t>
  </si>
  <si>
    <t>Proposed Treatment Action</t>
  </si>
  <si>
    <t>Annex A/Control Reference</t>
  </si>
  <si>
    <t>Treatment Cost</t>
  </si>
  <si>
    <t>Treatment Action Owner</t>
  </si>
  <si>
    <t>Treatment Action Timescale</t>
  </si>
  <si>
    <t>Treatment Action Progress</t>
  </si>
  <si>
    <t>Treatment Action Status</t>
  </si>
  <si>
    <t>Post-Treatment Likelihood</t>
  </si>
  <si>
    <t>Post-Treatment Likelihood Rationale</t>
  </si>
  <si>
    <t>Post- Treatment Impact</t>
  </si>
  <si>
    <t>Post-Treatment Impact Rationale</t>
  </si>
  <si>
    <t>Post-Treatment Risk Score</t>
  </si>
  <si>
    <t>Post-Treatment Risk Level</t>
  </si>
  <si>
    <t>Comments</t>
  </si>
  <si>
    <t>Software &amp; Apps</t>
  </si>
  <si>
    <t>تطبيق آفاق بلس (Mobile App)</t>
  </si>
  <si>
    <t>هجمات اختراق قواعد البيانات وحقن الأوامر (SQL Injection)</t>
  </si>
  <si>
    <t>وجود ثغرات عالية الخطورة في التحقق من المدخلات لم تعالج</t>
  </si>
  <si>
    <t>C</t>
  </si>
  <si>
    <t>م. فهد العتيبي (CIO)</t>
  </si>
  <si>
    <t>جدار حماية تطبيقات الويب (FortiWeb)، واختبار اختراق سنوي</t>
  </si>
  <si>
    <t>نشاط فحص متزايد، ووجود ثغرات نشطة مؤكدة بآخر تقرير</t>
  </si>
  <si>
    <t>اختراق بيانات 500 ألف عميل، وغرامات تنظيمية باهظة</t>
  </si>
  <si>
    <t>Modify</t>
  </si>
  <si>
    <t>إعادة كتابة كود التحقق من المدخلات، تطبيق WAF، واختبار اختراق صارم قبل النشر</t>
  </si>
  <si>
    <t>A.8.26, A.8.28, A.8.29</t>
  </si>
  <si>
    <t>رئيس أمن التطبيقات</t>
  </si>
  <si>
    <t>شهر واحد</t>
  </si>
  <si>
    <t>In Progress</t>
  </si>
  <si>
    <t>إغلاق الثغرات يمنع استغلال أوامر الحقن نهائياً</t>
  </si>
  <si>
    <t>تظل قيمة الأصل عالية لكن مع إزالة منفذ الهجوم</t>
  </si>
  <si>
    <t>متابعة المعالجة عبر نظام Jira</t>
  </si>
  <si>
    <t>Hardware &amp; Comms</t>
  </si>
  <si>
    <t>جدار الحماية الرئيسي (Palo Alto)</t>
  </si>
  <si>
    <t>انقطاع خدمات البنك الرقمية نتيجة خطأ إعدادات بشري</t>
  </si>
  <si>
    <t>غياب آلية التحقق الثنائي (Four-eyes principle) وعدم وجود خطة تراجع (Rollback)</t>
  </si>
  <si>
    <t>A</t>
  </si>
  <si>
    <t>زوج جدران نارية بتكوين عالي التوفر (HA)</t>
  </si>
  <si>
    <t>وقوع حادث سابق أوقف الخدمة 3 ساعات بسبب خطأ بشري</t>
  </si>
  <si>
    <t>توقف كامل للخدمات الرقمية وقت الذروة وفقدان ثقة العملاء</t>
  </si>
  <si>
    <t>اعتماد سياسة إدارة التغيير تتطلب موافقة ثنائية وتوثيق خطة التراجع والتطبيق خارج أوقات الذروة</t>
  </si>
  <si>
    <t>A.8.9, A.8.32</t>
  </si>
  <si>
    <t>مدير البنية التحتية والشبكات</t>
  </si>
  <si>
    <t>الاختبار والتحقق الثنائي يمنعان الأخطاء البشرية</t>
  </si>
  <si>
    <t>حصر التغييرات في فترات الصيانة المعتمدة</t>
  </si>
  <si>
    <t>متوافق مع معايير ITIL وإدارة التغيير</t>
  </si>
  <si>
    <t>Human &amp; Process</t>
  </si>
  <si>
    <t>موظفو الإدارة المالية والحسابات</t>
  </si>
  <si>
    <t>هجمات الهندسة الاجتماعية والاحتيال المالي (BEC / Phishing)</t>
  </si>
  <si>
    <t>ضعف الوعي الأمني (فشل 25% بمحاكاة التصيد) وقبول طلبات التحويل دون تحقق ثنائي</t>
  </si>
  <si>
    <t>I</t>
  </si>
  <si>
    <t>أ. خالد الشمري (HR)</t>
  </si>
  <si>
    <t>بوابة البريد الآمن (Cisco)، ونظام كشف الاحتيال</t>
  </si>
  <si>
    <t>تعرض سابق لمحاولة احتيال بـ 150 ألف، وفشل 25% بالمحاكاة</t>
  </si>
  <si>
    <t>خسائر مالية مباشرة وتحقيقات رقابية صارمة</t>
  </si>
  <si>
    <t>دورات توعية مكثفة، محاكاة تصيد دورية، وإلزام التحقق الشفهي/المكتبي المزدوج لأي تحويل مالي</t>
  </si>
  <si>
    <t>A.6.3, A.5.17</t>
  </si>
  <si>
    <t>مسؤول التوعية الأمنية</t>
  </si>
  <si>
    <t>شهرين</t>
  </si>
  <si>
    <t>التدريب والتحقق المزدوج يحبطان محاولات الهندسة الاجتماعية</t>
  </si>
  <si>
    <t>حصر المبالغ وتحديد سقف الصلاحيات المالية</t>
  </si>
  <si>
    <t>التزام بتعاميم ساما لمكافحة الاحتيال</t>
  </si>
  <si>
    <t>Information Data</t>
  </si>
  <si>
    <t>بيانات العملاء المستخدمة بالحملات التسويقية</t>
  </si>
  <si>
    <t>تسرب وسرقة بيانات حساسة لـ 500k عميل عبر فقدان لابتوب</t>
  </si>
  <si>
    <t>عدم تفعيل التشفير الكامل للأقراص (Full Disk Encryption) وتأخر الإبلاغ 48 ساعة</t>
  </si>
  <si>
    <t>أ. سارة الحربي (CISO)</t>
  </si>
  <si>
    <t>كلمات مرور نظام التشغيل، ومسودة سياسة استخدام مقبول</t>
  </si>
  <si>
    <t>تسجيل حادثة فعلية لفقدان جهاز لابتوب تسويقي بدون تشفير</t>
  </si>
  <si>
    <t>عقوبات من سدايا لانتهاك الخصوصية وتكاليف إشعار العملاء</t>
  </si>
  <si>
    <t>فرض تشفير BitLocker إلزامي، نظام MDM للتحكم بالأجهزة ومسحها عن بعد، وتفعيل سياسة الإبلاغ الفوري</t>
  </si>
  <si>
    <t>A.8.1, A.8.24, A.5.10</t>
  </si>
  <si>
    <t>رئيس الدعم الفني والأجهزة الطرفية</t>
  </si>
  <si>
    <t>شهر ونصف</t>
  </si>
  <si>
    <t>تعذر قراءة القرص المشفر حتى لو تم سرقة الجهاز</t>
  </si>
  <si>
    <t>اقتصار الضرر على تكلفة الجهاز المادية فقط</t>
  </si>
  <si>
    <t>معالجة فجوة حادثة اللابتوب السابقة</t>
  </si>
  <si>
    <t>Software &amp; Web</t>
  </si>
  <si>
    <t>شهادات الأمان الرقمية (SSL/TLS Certificates)</t>
  </si>
  <si>
    <t>توقف المنصة وظهور تحذيرات أمنية وتشويه سمعة البنك</t>
  </si>
  <si>
    <t>غياب نظام آلي لتتبع تواريخ انتهاء صلاحية الشهادات الرقمية وتجديدها</t>
  </si>
  <si>
    <t>تذكيرات يدوية عبر التقويم من قبل فريق الويب</t>
  </si>
  <si>
    <t>تكرار انقطاع الخدمة لمدة 4 ساعات وتداول شكاوى العملاء</t>
  </si>
  <si>
    <t>ارتباك العملاء، وشائعات اختراق، وتراجع السمعة الرقمية</t>
  </si>
  <si>
    <t>تركيب نظام مراقبة وتجديد آلي للشهادات قبل انتهائها بـ 30 يوماً مع تنبيهات لفرق الشبكات</t>
  </si>
  <si>
    <t>A.8.20, A.8.21, A.8.24</t>
  </si>
  <si>
    <t>مسؤول عمليات الويب</t>
  </si>
  <si>
    <t>أسبوعين</t>
  </si>
  <si>
    <t>Completed</t>
  </si>
  <si>
    <t>التنبيه الآلي المبكر قبل 30 يوماً يمنع انتهاء الشهادات</t>
  </si>
  <si>
    <t>انعدام انقطاع الخدمة تماماً</t>
  </si>
  <si>
    <t>التحقق من فاعلية التنبيهات واكتمالها</t>
  </si>
  <si>
    <t>Human &amp; Identity</t>
  </si>
  <si>
    <t>صلاحيات مجلدات HR وملفات الرواتب</t>
  </si>
  <si>
    <t>وصول غير مصرح للموظفين واطلاع على بيانات حساسة</t>
  </si>
  <si>
    <t>تراكم الصلاحيات الموروثة من مشاريع سابقة وغياب المراجعة الدورية</t>
  </si>
  <si>
    <t>صلاحيات مجموعات الدليل النشط (Active Directory)</t>
  </si>
  <si>
    <t>بقاء الصلاحيات لموظفي IT لمدة سنتين دون إلغاء</t>
  </si>
  <si>
    <t>انتهاك سرية بيانات الرواتب وخلافات عمالية داخلية</t>
  </si>
  <si>
    <t>تطبيق مبدأ الحد الأدنى من الصلاحيات (Least Privilege)، ومراجعة فصلية شاملة لصلاحيات الدليل النشط (AD)</t>
  </si>
  <si>
    <t>A.5.15, A.5.18, A.8.2</t>
  </si>
  <si>
    <t>مسؤول إدارة الهوية والوصول (IAM)</t>
  </si>
  <si>
    <t>المراجعة الدورية تلغي أي حسابات موروثة فوراً</t>
  </si>
  <si>
    <t>تطبيق مبدأ الحد الأدنى من الصلاحيات</t>
  </si>
  <si>
    <t>تم التدقيق والمراجعة من قبل CISO</t>
  </si>
  <si>
    <t>Infrastructure</t>
  </si>
  <si>
    <t>سجلات الأنظمة وجدران الحماية (Logs)</t>
  </si>
  <si>
    <t>فشل التحقيق الجنائي الرقمي وضياع الأدلة عند وقوع اختراق</t>
  </si>
  <si>
    <t>عدم تزامن التوقيت بين الخوادم (فارق 7 دقائق) وغياب نظام SIEM مركزي</t>
  </si>
  <si>
    <t>خادم Syslog مركزي ومراجعة يدوية عبر محللي الـ SOC</t>
  </si>
  <si>
    <t>تباين التوقيت بـ 7 دقائق مسجل رسمياً في تحقيق سابق</t>
  </si>
  <si>
    <t>تعذر تتبع الهجمات الجنائية وعدم الامتثال لضوابط ساما</t>
  </si>
  <si>
    <t>ربط كافة الأنظمة بخادم توقيت NTP مركزي، وبدء مشروع تركيب وتشغيل نظام SIEM لإدارة السجلات</t>
  </si>
  <si>
    <t>A.8.15, A.8.16, A.8.17</t>
  </si>
  <si>
    <t>رئيس فريق مركز العمليات الأمنية (SOC)</t>
  </si>
  <si>
    <t>3 أشهر</t>
  </si>
  <si>
    <t>توحيد الوقت يضمن سلامة الأدلة وتسلسل الأحداث</t>
  </si>
  <si>
    <t>المراقبة الفورية للإنذارات عبر الـ SOC</t>
  </si>
  <si>
    <t>مطلب رئيسي لتقارير أداء الـ ISMS</t>
  </si>
  <si>
    <t>Cloud Services</t>
  </si>
  <si>
    <t>بيئات التطوير والتحليلات على (AWS)</t>
  </si>
  <si>
    <t>اختراق الأنظمة السحابية وتسريب بيانات البنك</t>
  </si>
  <si>
    <t>التعاقد دون تقييم مخاطر السحابة وغياب سياسة الحوسبة السحابية والتشفير</t>
  </si>
  <si>
    <t>إعدادات ومصادقة الحساب الافتراضية لمنصة AWS</t>
  </si>
  <si>
    <t>استخدام سحابة AWS دون حوكمة أمنية أو تقييم للمخاطر</t>
  </si>
  <si>
    <t>تسرب الأكواد المصدرية والبيانات التحليلية للبنك</t>
  </si>
  <si>
    <t>صياغة سياسة استخدام السحابة، تفعيل MFA وتشفير البيانات السحابية، وفصل تام عن بيئة الإنتاج</t>
  </si>
  <si>
    <t>A.5.23, A.8.31, A.5.21</t>
  </si>
  <si>
    <t>مهندس المعمارية السحابية</t>
  </si>
  <si>
    <t>سياسات الوصول المشددة تمنع أي تسريب سحابي</t>
  </si>
  <si>
    <t>حصر السحابة بالبيانات غير الحرجة فقط</t>
  </si>
  <si>
    <t>استيفاء متطلبات الضابط A.5.23</t>
  </si>
  <si>
    <t>بيانات العملاء الشخصية (PII) بقواعد البيانات</t>
  </si>
  <si>
    <t>فرض غرامات نظامية من هيئة البيانات (سدايا) لعدم تلبية حقوق أصحاب البيانات</t>
  </si>
  <si>
    <t>غياب أداة آلية لتصنيف وحذف بيانات العملاء عند انتهاء فترة الاحتفاظ</t>
  </si>
  <si>
    <t>أ. ليلى الدوسري (الشؤون القانونية)</t>
  </si>
  <si>
    <t>أخذ موافقات العملاء عند فتح الحساب فقط</t>
  </si>
  <si>
    <t>تأخر الاستجابة لطلبات أصحاب البيانات وغياب أداة الحذف</t>
  </si>
  <si>
    <t>غرامات قانونية مشددة بموجب نظام حماية البيانات الشخصية</t>
  </si>
  <si>
    <t>إجراء تقييم أثر حماية البيانات (DPIA)، وتطبيق أداة لتصنيف بيانات PII وآلية للحذف الآمن</t>
  </si>
  <si>
    <t>A.5.34, A.8.10, A.8.11</t>
  </si>
  <si>
    <t>مسؤول الخصوصية والالتزام</t>
  </si>
  <si>
    <t>أتمتة تصنيف وحذف البيانات تضمن الالتزام بالمدد القانونية</t>
  </si>
  <si>
    <t>تقليل المسؤولية القانونية وتفادي الغرامات</t>
  </si>
  <si>
    <t>امتثال كامل لنظام حماية البيانات (سدايا)</t>
  </si>
  <si>
    <t>Software &amp; Dev</t>
  </si>
  <si>
    <t>برمجيات ومكتبات الأنظمة البنكية</t>
  </si>
  <si>
    <t>هجمات سلاسل التوريد (Supply Chain) واستغلال ثغرات غير مرخصة</t>
  </si>
  <si>
    <t>استخدام مطورين لمكتبات مفتوحة المصدر دون فحص ترخيصها أو ثغراتها</t>
  </si>
  <si>
    <t>صلاحيات الوصول إلى GitLab والمراجعة اليدوية للكود</t>
  </si>
  <si>
    <t>استيراد حزم ومكتبات خارجية بحرية دون تدقيق أمني</t>
  </si>
  <si>
    <t>زرع أبواب خلفية وتراجع موثوقية الأنظمة المصرفية</t>
  </si>
  <si>
    <t>تفعيل فحص التراخيص والبرمجيات في منصة GitLab (SAST)، وحظر استخدام أي مكتبات دون موافقة أمنية</t>
  </si>
  <si>
    <t>A.5.32, A.8.25, A.8.30</t>
  </si>
  <si>
    <t>مسؤول معمارية البرمجيات</t>
  </si>
  <si>
    <t>الفحص الآلي يمنع دمج أي مكتبات خبيثة أو غير مرخصة</t>
  </si>
  <si>
    <t>سلامة الكود المصدري وحماية الملكية الفكرية</t>
  </si>
  <si>
    <t>دمج ممارسات الـ DevSecOps الحديثة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</si>
</sst>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-;\-* #,##0.00_-;_-* &quot;-&quot;??_-;_-@_-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rgb="FF444444"/>
      <name val="Calibri"/>
      <charset val="134"/>
    </font>
    <font>
      <b/>
      <sz val="16"/>
      <color rgb="FF444444"/>
      <name val="Calibri"/>
      <charset val="134"/>
    </font>
    <font>
      <b/>
      <sz val="11"/>
      <color rgb="FF444444"/>
      <name val="Calibri"/>
      <charset val="134"/>
    </font>
    <font>
      <b/>
      <sz val="11"/>
      <color rgb="FFFFFFFF"/>
      <name val="Calibri"/>
      <charset val="134"/>
    </font>
    <font>
      <sz val="11"/>
      <color rgb="FF444444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14D4E"/>
        <bgColor indexed="64"/>
      </patternFill>
    </fill>
    <fill>
      <patternFill patternType="solid">
        <fgColor rgb="FFD0EA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42999B"/>
      </right>
      <top/>
      <bottom/>
      <diagonal/>
    </border>
    <border>
      <left style="thin">
        <color rgb="FF42999B"/>
      </left>
      <right style="thin">
        <color rgb="FF42999B"/>
      </right>
      <top style="thin">
        <color rgb="FF42999B"/>
      </top>
      <bottom style="thin">
        <color rgb="FF42999B"/>
      </bottom>
      <diagonal/>
    </border>
    <border>
      <left style="thin">
        <color rgb="FF42999B"/>
      </left>
      <right style="thin">
        <color rgb="FF42999B"/>
      </right>
      <top/>
      <bottom style="thin">
        <color rgb="FF42999B"/>
      </bottom>
      <diagonal/>
    </border>
    <border>
      <left style="thin">
        <color rgb="FF42999B"/>
      </left>
      <right style="thin">
        <color rgb="FF4299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centerContinuous" vertical="top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horizontal="centerContinuous" vertical="top"/>
    </xf>
    <xf numFmtId="0" fontId="1" fillId="3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vertical="top"/>
    </xf>
    <xf numFmtId="0" fontId="5" fillId="4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Fill="1" applyAlignment="1" applyProtection="1">
      <alignment horizontal="left" vertical="top" wrapText="1"/>
      <protection locked="0"/>
    </xf>
    <xf numFmtId="0" fontId="1" fillId="0" borderId="0" xfId="0" applyFont="1" applyFill="1" applyAlignment="1"/>
    <xf numFmtId="9" fontId="1" fillId="0" borderId="0" xfId="0" applyNumberFormat="1" applyFont="1" applyFill="1" applyAlignment="1"/>
    <xf numFmtId="9" fontId="1" fillId="0" borderId="0" xfId="0" applyNumberFormat="1" applyFont="1" applyFill="1" applyAlignment="1" applyProtection="1">
      <alignment horizontal="left" vertical="top" wrapText="1"/>
      <protection locked="0"/>
    </xf>
    <xf numFmtId="0" fontId="1" fillId="0" borderId="0" xfId="0" applyFont="1" applyFill="1" applyAlignment="1" applyProtection="1">
      <alignment vertical="top" wrapText="1"/>
      <protection locked="0"/>
    </xf>
    <xf numFmtId="178" fontId="1" fillId="0" borderId="0" xfId="0" applyNumberFormat="1" applyFont="1" applyFill="1" applyAlignment="1" applyProtection="1">
      <alignment horizontal="right" vertical="top" wrapText="1"/>
      <protection locked="0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right" vertical="top"/>
    </xf>
    <xf numFmtId="0" fontId="6" fillId="0" borderId="3" xfId="0" applyFont="1" applyFill="1" applyBorder="1" applyAlignment="1">
      <alignment vertical="top"/>
    </xf>
    <xf numFmtId="0" fontId="4" fillId="5" borderId="4" xfId="0" applyFont="1" applyFill="1" applyBorder="1" applyAlignment="1">
      <alignment vertical="top" wrapText="1"/>
    </xf>
    <xf numFmtId="0" fontId="1" fillId="0" borderId="4" xfId="0" applyFont="1" applyFill="1" applyBorder="1" applyAlignment="1" applyProtection="1">
      <alignment horizontal="left" vertical="center" wrapText="1"/>
      <protection locked="0"/>
    </xf>
    <xf numFmtId="0" fontId="4" fillId="5" borderId="5" xfId="0" applyFont="1" applyFill="1" applyBorder="1" applyAlignment="1">
      <alignment vertical="top" wrapText="1"/>
    </xf>
    <xf numFmtId="0" fontId="1" fillId="0" borderId="5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Alignment="1">
      <alignment horizontal="left" vertical="center"/>
    </xf>
    <xf numFmtId="0" fontId="4" fillId="5" borderId="6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b val="1"/>
        <i val="0"/>
        <color rgb="FFFFFFFF"/>
      </font>
      <fill>
        <patternFill patternType="solid">
          <bgColor rgb="FFFF0000"/>
        </patternFill>
      </fill>
    </dxf>
    <dxf>
      <font>
        <b val="1"/>
        <i val="0"/>
        <color rgb="FF444444"/>
      </font>
      <fill>
        <patternFill patternType="solid">
          <bgColor rgb="FFFFC000"/>
        </patternFill>
      </fill>
    </dxf>
    <dxf>
      <font>
        <b val="1"/>
        <i val="0"/>
        <color rgb="FF444444"/>
      </font>
      <fill>
        <patternFill patternType="solid">
          <bgColor rgb="FF92D050"/>
        </patternFill>
      </fill>
    </dxf>
    <dxf>
      <fill>
        <patternFill patternType="solid">
          <bgColor rgb="FF8E8E8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0</xdr:row>
      <xdr:rowOff>160020</xdr:rowOff>
    </xdr:from>
    <xdr:to>
      <xdr:col>2</xdr:col>
      <xdr:colOff>648970</xdr:colOff>
      <xdr:row>6</xdr:row>
      <xdr:rowOff>110490</xdr:rowOff>
    </xdr:to>
    <xdr:pic>
      <xdr:nvPicPr>
        <xdr:cNvPr id="4" name="Picture 3" descr="C:/Users/MALAK-11/Desktop/AFAQ.jpegAFAQ"/>
        <xdr:cNvPicPr/>
      </xdr:nvPicPr>
      <xdr:blipFill>
        <a:blip r:embed="rId1"/>
        <a:srcRect l="-12" t="25222" r="12" b="22779"/>
        <a:stretch>
          <a:fillRect/>
        </a:stretch>
      </xdr:blipFill>
      <xdr:spPr>
        <a:xfrm>
          <a:off x="215265" y="160020"/>
          <a:ext cx="1927225" cy="1047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46355</xdr:rowOff>
    </xdr:from>
    <xdr:to>
      <xdr:col>3</xdr:col>
      <xdr:colOff>334645</xdr:colOff>
      <xdr:row>6</xdr:row>
      <xdr:rowOff>137795</xdr:rowOff>
    </xdr:to>
    <xdr:pic>
      <xdr:nvPicPr>
        <xdr:cNvPr id="29" name="Picture 28" descr="C:/Users/MALAK-11/Desktop/AFAQ.jpegAFAQ"/>
        <xdr:cNvPicPr/>
      </xdr:nvPicPr>
      <xdr:blipFill>
        <a:blip r:embed="rId1"/>
        <a:srcRect t="33288" b="15614"/>
        <a:stretch>
          <a:fillRect/>
        </a:stretch>
      </xdr:blipFill>
      <xdr:spPr>
        <a:xfrm>
          <a:off x="0" y="46355"/>
          <a:ext cx="2163445" cy="13030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ALAK-11\AppData\Local\Temp\3b7dea59-0397-41cb-a987-6176a5e40ea8_Athar%20team.zip.ea8\Athar%20team\MK_REQUIRED-ISMS-FORM-06-1%20Asset-Based%20Risk%20Too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"/>
      <sheetName val="Assessment Details"/>
      <sheetName val="Risk Assessment"/>
      <sheetName val="Dashboard"/>
      <sheetName val="Pre-treatment risks"/>
      <sheetName val="Pre-treat risk levels by owner"/>
      <sheetName val="Post-treatment risks"/>
      <sheetName val="Risks by risk level pre &amp; post"/>
      <sheetName val="Treatment option chosen"/>
      <sheetName val="Treatment cost "/>
      <sheetName val="Treatment action owner "/>
      <sheetName val="Reference Controls"/>
      <sheetName val="Example ATV Risks"/>
      <sheetName val="Example Assets"/>
      <sheetName val="Example Threats"/>
      <sheetName val="Likelihood"/>
      <sheetName val="Impact"/>
      <sheetName val="Selection Tables"/>
      <sheetName val="Pivot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C1" sqref="C1"/>
    </sheetView>
  </sheetViews>
  <sheetFormatPr defaultColWidth="8.88888888888889" defaultRowHeight="14.4" outlineLevelCol="6"/>
  <cols>
    <col min="1" max="1" width="3" customWidth="1"/>
    <col min="2" max="2" width="18.7777777777778" customWidth="1"/>
    <col min="3" max="3" width="37.3333333333333" customWidth="1"/>
  </cols>
  <sheetData>
    <row r="1" spans="1:7">
      <c r="A1" s="23"/>
      <c r="B1" s="23"/>
      <c r="C1" s="23"/>
      <c r="D1" s="23"/>
      <c r="E1" s="23"/>
      <c r="F1" s="23"/>
      <c r="G1" s="23"/>
    </row>
    <row r="2" spans="1:7">
      <c r="A2" s="23"/>
      <c r="B2" s="24"/>
      <c r="C2" s="23"/>
      <c r="D2" s="23"/>
      <c r="E2" s="23"/>
      <c r="F2" s="23"/>
      <c r="G2" s="23"/>
    </row>
    <row r="3" spans="1:7">
      <c r="A3" s="23"/>
      <c r="B3" s="24"/>
      <c r="C3" s="23"/>
      <c r="D3" s="23"/>
      <c r="E3" s="23"/>
      <c r="F3" s="23"/>
      <c r="G3" s="23"/>
    </row>
    <row r="4" spans="1:7">
      <c r="A4" s="23"/>
      <c r="B4" s="24"/>
      <c r="C4" s="23"/>
      <c r="D4" s="23"/>
      <c r="E4" s="23"/>
      <c r="F4" s="23"/>
      <c r="G4" s="23"/>
    </row>
    <row r="5" spans="1:7">
      <c r="A5" s="23"/>
      <c r="B5" s="24"/>
      <c r="C5" s="23"/>
      <c r="D5" s="23"/>
      <c r="E5" s="23"/>
      <c r="F5" s="23"/>
      <c r="G5" s="23"/>
    </row>
    <row r="6" spans="1:7">
      <c r="A6" s="23"/>
      <c r="B6" s="24"/>
      <c r="C6" s="23"/>
      <c r="D6" s="23"/>
      <c r="E6" s="23"/>
      <c r="F6" s="23"/>
      <c r="G6" s="23"/>
    </row>
    <row r="7" spans="1:7">
      <c r="A7" s="23"/>
      <c r="B7" s="23"/>
      <c r="C7" s="23"/>
      <c r="D7" s="23"/>
      <c r="E7" s="23"/>
      <c r="F7" s="23"/>
      <c r="G7" s="23"/>
    </row>
    <row r="8" ht="21" spans="1:7">
      <c r="A8" s="23"/>
      <c r="B8" s="6" t="s">
        <v>0</v>
      </c>
      <c r="C8" s="23"/>
      <c r="D8" s="23"/>
      <c r="E8" s="23"/>
      <c r="F8" s="23"/>
      <c r="G8" s="23"/>
    </row>
    <row r="9" spans="1:7">
      <c r="A9" s="23"/>
      <c r="B9" s="23"/>
      <c r="C9" s="23"/>
      <c r="D9" s="23"/>
      <c r="E9" s="23"/>
      <c r="F9" s="23"/>
      <c r="G9" s="23"/>
    </row>
    <row r="10" ht="72" spans="1:7">
      <c r="A10" s="25"/>
      <c r="B10" s="26" t="s">
        <v>1</v>
      </c>
      <c r="C10" s="27" t="s">
        <v>2</v>
      </c>
      <c r="D10" s="23"/>
      <c r="E10" s="23"/>
      <c r="F10" s="23"/>
      <c r="G10" s="23"/>
    </row>
    <row r="11" ht="115.2" spans="1:7">
      <c r="A11" s="25"/>
      <c r="B11" s="28" t="s">
        <v>3</v>
      </c>
      <c r="C11" s="29" t="s">
        <v>4</v>
      </c>
      <c r="D11" s="23"/>
      <c r="E11" s="23"/>
      <c r="F11" s="23"/>
      <c r="G11" s="23"/>
    </row>
    <row r="12" ht="57.6" spans="1:7">
      <c r="A12" s="25"/>
      <c r="B12" s="26" t="s">
        <v>5</v>
      </c>
      <c r="C12" s="30" t="s">
        <v>6</v>
      </c>
      <c r="D12" s="23"/>
      <c r="E12" s="23"/>
      <c r="F12" s="23"/>
      <c r="G12" s="23"/>
    </row>
    <row r="13" ht="259.2" spans="1:7">
      <c r="A13" s="25"/>
      <c r="B13" s="28" t="s">
        <v>7</v>
      </c>
      <c r="C13" s="29" t="s">
        <v>8</v>
      </c>
      <c r="D13" s="23"/>
      <c r="E13" s="23"/>
      <c r="F13" s="23"/>
      <c r="G13" s="23"/>
    </row>
    <row r="14" ht="57.6" spans="1:7">
      <c r="A14" s="25"/>
      <c r="B14" s="31" t="s">
        <v>9</v>
      </c>
      <c r="C14" s="30" t="s">
        <v>10</v>
      </c>
      <c r="D14" s="23"/>
      <c r="E14" s="23"/>
      <c r="F14" s="23"/>
      <c r="G14" s="23"/>
    </row>
    <row r="15" ht="28.8" spans="1:7">
      <c r="A15" s="25"/>
      <c r="B15" s="26" t="s">
        <v>11</v>
      </c>
      <c r="C15" s="27">
        <v>1</v>
      </c>
      <c r="D15" s="23"/>
      <c r="E15" s="23"/>
      <c r="F15" s="23"/>
      <c r="G15" s="23"/>
    </row>
    <row r="16" ht="28.8" spans="1:7">
      <c r="A16" s="25"/>
      <c r="B16" s="31" t="s">
        <v>12</v>
      </c>
      <c r="C16" s="30" t="s">
        <v>13</v>
      </c>
      <c r="D16" s="23"/>
      <c r="E16" s="23"/>
      <c r="F16" s="23"/>
      <c r="G16" s="23"/>
    </row>
    <row r="17" ht="43.2" spans="1:7">
      <c r="A17" s="25"/>
      <c r="B17" s="26" t="s">
        <v>14</v>
      </c>
      <c r="C17" s="30" t="s">
        <v>15</v>
      </c>
      <c r="D17" s="23"/>
      <c r="E17" s="23"/>
      <c r="F17" s="23"/>
      <c r="G17" s="23"/>
    </row>
    <row r="18" ht="72" spans="1:7">
      <c r="A18" s="25"/>
      <c r="B18" s="26" t="s">
        <v>16</v>
      </c>
      <c r="C18" s="30" t="s">
        <v>17</v>
      </c>
      <c r="D18" s="23"/>
      <c r="E18" s="23"/>
      <c r="F18" s="23"/>
      <c r="G18" s="23"/>
    </row>
    <row r="19" ht="28.8" spans="1:7">
      <c r="A19" s="25"/>
      <c r="B19" s="31" t="s">
        <v>18</v>
      </c>
      <c r="C19" s="30" t="s">
        <v>19</v>
      </c>
      <c r="D19" s="23"/>
      <c r="E19" s="23"/>
      <c r="F19" s="23"/>
      <c r="G19" s="23"/>
    </row>
    <row r="20" ht="57.6" spans="1:7">
      <c r="A20" s="25"/>
      <c r="B20" s="26" t="s">
        <v>20</v>
      </c>
      <c r="C20" s="30" t="s">
        <v>13</v>
      </c>
      <c r="D20" s="23"/>
      <c r="E20" s="23"/>
      <c r="F20" s="23"/>
      <c r="G20" s="23"/>
    </row>
    <row r="21" spans="1:7">
      <c r="A21" s="23"/>
      <c r="B21" s="23"/>
      <c r="C21" s="23"/>
      <c r="D21" s="23"/>
      <c r="E21" s="23"/>
      <c r="F21" s="23"/>
      <c r="G21" s="23"/>
    </row>
    <row r="22" spans="1:7">
      <c r="A22" s="23"/>
      <c r="B22" s="23"/>
      <c r="C22" s="23"/>
      <c r="D22" s="23"/>
      <c r="E22" s="23"/>
      <c r="F22" s="23"/>
      <c r="G22" s="23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abSelected="1" workbookViewId="0">
      <selection activeCell="I4" sqref="I4"/>
    </sheetView>
  </sheetViews>
  <sheetFormatPr defaultColWidth="8.88888888888889" defaultRowHeight="14.4"/>
  <sheetData>
    <row r="1" spans="1:2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3.4" spans="1:29">
      <c r="A2" s="2"/>
      <c r="B2" s="2"/>
      <c r="C2" s="3"/>
      <c r="D2" s="3"/>
      <c r="E2" s="3"/>
      <c r="F2" s="4"/>
      <c r="G2" s="3"/>
      <c r="H2" s="3"/>
      <c r="I2" s="3"/>
      <c r="J2" s="2"/>
      <c r="K2" s="3"/>
      <c r="L2" s="3"/>
      <c r="M2" s="3"/>
      <c r="N2" s="3"/>
      <c r="O2" s="3"/>
      <c r="P2" s="3"/>
      <c r="Q2" s="3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2"/>
      <c r="B4" s="2"/>
      <c r="C4" s="3"/>
      <c r="D4" s="3"/>
      <c r="E4" s="3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2"/>
      <c r="B5" s="2"/>
      <c r="C5" s="3"/>
      <c r="D5" s="3"/>
      <c r="E5" s="3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2"/>
      <c r="B6" s="2"/>
      <c r="C6" s="3"/>
      <c r="D6" s="3"/>
      <c r="E6" s="3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"/>
      <c r="B7" s="2"/>
      <c r="C7" s="3"/>
      <c r="D7" s="3"/>
      <c r="E7" s="3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21" spans="1:29">
      <c r="A8" s="6" t="s">
        <v>21</v>
      </c>
      <c r="B8" s="2"/>
      <c r="C8" s="3"/>
      <c r="D8" s="3"/>
      <c r="E8" s="3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7" t="s">
        <v>22</v>
      </c>
      <c r="B9" s="7"/>
      <c r="C9" s="8"/>
      <c r="D9" s="8"/>
      <c r="E9" s="8"/>
      <c r="F9" s="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10" t="s">
        <v>23</v>
      </c>
      <c r="B10" s="11"/>
      <c r="C10" s="11"/>
      <c r="D10" s="11"/>
      <c r="E10" s="11"/>
      <c r="F10" s="11"/>
      <c r="G10" s="11"/>
      <c r="H10" s="11"/>
      <c r="I10" s="3"/>
      <c r="J10" s="3"/>
      <c r="K10" s="3"/>
      <c r="L10" s="3"/>
      <c r="M10" s="12"/>
      <c r="N10" s="12"/>
      <c r="O10" s="12"/>
      <c r="P10" s="3"/>
      <c r="Q10" s="3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2"/>
      <c r="B11" s="2"/>
      <c r="C11" s="3"/>
      <c r="D11" s="3"/>
      <c r="E11" s="3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13" t="s">
        <v>24</v>
      </c>
      <c r="B12" s="13"/>
      <c r="C12" s="13"/>
      <c r="D12" s="13"/>
      <c r="E12" s="13"/>
      <c r="F12" s="13"/>
      <c r="G12" s="14"/>
      <c r="H12" s="15" t="s">
        <v>25</v>
      </c>
      <c r="I12" s="13"/>
      <c r="J12" s="13"/>
      <c r="K12" s="13"/>
      <c r="L12" s="13"/>
      <c r="M12" s="13"/>
      <c r="N12" s="14"/>
      <c r="O12" s="15" t="s">
        <v>26</v>
      </c>
      <c r="P12" s="13"/>
      <c r="Q12" s="13"/>
      <c r="R12" s="13"/>
      <c r="S12" s="13"/>
      <c r="T12" s="13"/>
      <c r="U12" s="13"/>
      <c r="V12" s="14"/>
      <c r="W12" s="15" t="s">
        <v>27</v>
      </c>
      <c r="X12" s="13"/>
      <c r="Y12" s="13"/>
      <c r="Z12" s="13"/>
      <c r="AA12" s="13"/>
      <c r="AB12" s="13"/>
      <c r="AC12" s="13"/>
    </row>
    <row r="13" s="1" customFormat="1" ht="86.4" spans="1:29">
      <c r="A13" s="16" t="s">
        <v>28</v>
      </c>
      <c r="B13" s="16" t="s">
        <v>29</v>
      </c>
      <c r="C13" s="16" t="s">
        <v>30</v>
      </c>
      <c r="D13" s="16" t="s">
        <v>31</v>
      </c>
      <c r="E13" s="16" t="s">
        <v>32</v>
      </c>
      <c r="F13" s="16" t="s">
        <v>33</v>
      </c>
      <c r="G13" s="16" t="s">
        <v>34</v>
      </c>
      <c r="H13" s="16" t="s">
        <v>35</v>
      </c>
      <c r="I13" s="16" t="s">
        <v>36</v>
      </c>
      <c r="J13" s="16" t="s">
        <v>37</v>
      </c>
      <c r="K13" s="16" t="s">
        <v>38</v>
      </c>
      <c r="L13" s="16" t="s">
        <v>39</v>
      </c>
      <c r="M13" s="16" t="s">
        <v>40</v>
      </c>
      <c r="N13" s="16" t="s">
        <v>41</v>
      </c>
      <c r="O13" s="16" t="s">
        <v>42</v>
      </c>
      <c r="P13" s="16" t="s">
        <v>43</v>
      </c>
      <c r="Q13" s="16" t="s">
        <v>44</v>
      </c>
      <c r="R13" s="16" t="s">
        <v>45</v>
      </c>
      <c r="S13" s="16" t="s">
        <v>46</v>
      </c>
      <c r="T13" s="16" t="s">
        <v>47</v>
      </c>
      <c r="U13" s="16" t="s">
        <v>48</v>
      </c>
      <c r="V13" s="16" t="s">
        <v>49</v>
      </c>
      <c r="W13" s="16" t="s">
        <v>50</v>
      </c>
      <c r="X13" s="16" t="s">
        <v>51</v>
      </c>
      <c r="Y13" s="16" t="s">
        <v>52</v>
      </c>
      <c r="Z13" s="16" t="s">
        <v>53</v>
      </c>
      <c r="AA13" s="16" t="s">
        <v>54</v>
      </c>
      <c r="AB13" s="16" t="s">
        <v>55</v>
      </c>
      <c r="AC13" s="16" t="s">
        <v>56</v>
      </c>
    </row>
    <row r="14" ht="115.2" spans="1:29">
      <c r="A14" s="17">
        <v>1</v>
      </c>
      <c r="B14" s="18" t="s">
        <v>57</v>
      </c>
      <c r="C14" s="18" t="s">
        <v>58</v>
      </c>
      <c r="D14" s="17" t="s">
        <v>59</v>
      </c>
      <c r="E14" s="18" t="s">
        <v>60</v>
      </c>
      <c r="F14" s="17" t="s">
        <v>61</v>
      </c>
      <c r="G14" s="18" t="s">
        <v>62</v>
      </c>
      <c r="H14" s="18" t="s">
        <v>63</v>
      </c>
      <c r="I14" s="17">
        <v>4</v>
      </c>
      <c r="J14" s="18" t="s">
        <v>64</v>
      </c>
      <c r="K14" s="17">
        <v>5</v>
      </c>
      <c r="L14" s="18" t="s">
        <v>65</v>
      </c>
      <c r="M14" s="11">
        <f>IFERROR([1]!RiskAssessment[[#This Row],[Likelihood]]*[1]!RiskAssessment[[#This Row],[Impact]],"Calculated")</f>
        <v>20</v>
      </c>
      <c r="N14" s="11" t="str">
        <f t="shared" ref="N14:N23" si="0">IF(M14="Calculated","Calculated",IF(M14&gt;11," HIGH",IF(M14&gt;4," MEDIUM"," LOW")))</f>
        <v> HIGH</v>
      </c>
      <c r="O14" s="17" t="s">
        <v>66</v>
      </c>
      <c r="P14" s="18" t="s">
        <v>67</v>
      </c>
      <c r="Q14" s="18" t="s">
        <v>68</v>
      </c>
      <c r="R14" s="18">
        <v>35000</v>
      </c>
      <c r="S14" s="18" t="s">
        <v>69</v>
      </c>
      <c r="T14" s="18" t="s">
        <v>70</v>
      </c>
      <c r="U14" s="19">
        <v>0.25</v>
      </c>
      <c r="V14" s="17" t="s">
        <v>71</v>
      </c>
      <c r="W14" s="17">
        <v>1</v>
      </c>
      <c r="X14" s="18" t="s">
        <v>72</v>
      </c>
      <c r="Y14" s="17">
        <v>4</v>
      </c>
      <c r="Z14" s="17" t="s">
        <v>73</v>
      </c>
      <c r="AA14" s="11">
        <f>IFERROR([1]!RiskAssessment[[#This Row],[Post-Treatment Likelihood]]*[1]!RiskAssessment[[#This Row],[Post- Treatment Impact]],"Calculated")</f>
        <v>4</v>
      </c>
      <c r="AB14" s="11" t="str">
        <f t="shared" ref="AB14:AB23" si="1">IF(AA14="Calculated","Calculated",IF(AA14&gt;11," HIGH",IF(AA14&gt;4," MEDIUM"," LOW")))</f>
        <v> LOW</v>
      </c>
      <c r="AC14" s="18" t="s">
        <v>74</v>
      </c>
    </row>
    <row r="15" ht="57.6" spans="1:29">
      <c r="A15" s="17">
        <v>2</v>
      </c>
      <c r="B15" s="17" t="s">
        <v>75</v>
      </c>
      <c r="C15" s="18" t="s">
        <v>76</v>
      </c>
      <c r="D15" s="18" t="s">
        <v>77</v>
      </c>
      <c r="E15" s="18" t="s">
        <v>78</v>
      </c>
      <c r="F15" s="17" t="s">
        <v>79</v>
      </c>
      <c r="G15" s="17" t="s">
        <v>62</v>
      </c>
      <c r="H15" s="18" t="s">
        <v>80</v>
      </c>
      <c r="I15" s="17">
        <v>3</v>
      </c>
      <c r="J15" s="18" t="s">
        <v>81</v>
      </c>
      <c r="K15" s="17">
        <v>5</v>
      </c>
      <c r="L15" s="18" t="s">
        <v>82</v>
      </c>
      <c r="M15" s="11">
        <f>IFERROR([1]!RiskAssessment[[#This Row],[Likelihood]]*[1]!RiskAssessment[[#This Row],[Impact]],"Calculated")</f>
        <v>15</v>
      </c>
      <c r="N15" s="11" t="str">
        <f t="shared" si="0"/>
        <v> HIGH</v>
      </c>
      <c r="O15" s="17" t="s">
        <v>66</v>
      </c>
      <c r="P15" s="18" t="s">
        <v>83</v>
      </c>
      <c r="Q15" s="18" t="s">
        <v>84</v>
      </c>
      <c r="R15" s="18">
        <v>15000</v>
      </c>
      <c r="S15" s="18" t="s">
        <v>85</v>
      </c>
      <c r="T15" s="18" t="s">
        <v>70</v>
      </c>
      <c r="U15" s="19">
        <v>0.5</v>
      </c>
      <c r="V15" s="17" t="s">
        <v>71</v>
      </c>
      <c r="W15" s="17">
        <v>1</v>
      </c>
      <c r="X15" s="18" t="s">
        <v>86</v>
      </c>
      <c r="Y15" s="17">
        <v>4</v>
      </c>
      <c r="Z15" s="18" t="s">
        <v>87</v>
      </c>
      <c r="AA15" s="11">
        <f>IFERROR([1]!RiskAssessment[[#This Row],[Post-Treatment Likelihood]]*[1]!RiskAssessment[[#This Row],[Post- Treatment Impact]],"Calculated")</f>
        <v>4</v>
      </c>
      <c r="AB15" s="11" t="str">
        <f t="shared" si="1"/>
        <v> LOW</v>
      </c>
      <c r="AC15" s="17" t="s">
        <v>88</v>
      </c>
    </row>
    <row r="16" ht="144" spans="1:29">
      <c r="A16" s="17">
        <v>3</v>
      </c>
      <c r="B16" s="18" t="s">
        <v>89</v>
      </c>
      <c r="C16" s="17" t="s">
        <v>90</v>
      </c>
      <c r="D16" s="17" t="s">
        <v>91</v>
      </c>
      <c r="E16" s="17" t="s">
        <v>92</v>
      </c>
      <c r="F16" s="17" t="s">
        <v>93</v>
      </c>
      <c r="G16" s="17" t="s">
        <v>94</v>
      </c>
      <c r="H16" s="18" t="s">
        <v>95</v>
      </c>
      <c r="I16" s="17">
        <v>4</v>
      </c>
      <c r="J16" s="18" t="s">
        <v>96</v>
      </c>
      <c r="K16" s="17">
        <v>4</v>
      </c>
      <c r="L16" s="18" t="s">
        <v>97</v>
      </c>
      <c r="M16" s="11">
        <f>IFERROR([1]!RiskAssessment[[#This Row],[Likelihood]]*[1]!RiskAssessment[[#This Row],[Impact]],"Calculated")</f>
        <v>16</v>
      </c>
      <c r="N16" s="11" t="str">
        <f t="shared" si="0"/>
        <v> HIGH</v>
      </c>
      <c r="O16" s="17" t="s">
        <v>66</v>
      </c>
      <c r="P16" s="18" t="s">
        <v>98</v>
      </c>
      <c r="Q16" s="18" t="s">
        <v>99</v>
      </c>
      <c r="R16" s="18">
        <v>25000</v>
      </c>
      <c r="S16" s="18" t="s">
        <v>100</v>
      </c>
      <c r="T16" s="18" t="s">
        <v>101</v>
      </c>
      <c r="U16" s="20">
        <v>0.4</v>
      </c>
      <c r="V16" s="17" t="s">
        <v>71</v>
      </c>
      <c r="W16" s="17">
        <v>2</v>
      </c>
      <c r="X16" s="17" t="s">
        <v>102</v>
      </c>
      <c r="Y16" s="17">
        <v>2</v>
      </c>
      <c r="Z16" s="17" t="s">
        <v>103</v>
      </c>
      <c r="AA16" s="11">
        <f>IFERROR([1]!RiskAssessment[[#This Row],[Post-Treatment Likelihood]]*[1]!RiskAssessment[[#This Row],[Post- Treatment Impact]],"Calculated")</f>
        <v>4</v>
      </c>
      <c r="AB16" s="11" t="str">
        <f t="shared" si="1"/>
        <v> LOW</v>
      </c>
      <c r="AC16" s="17" t="s">
        <v>104</v>
      </c>
    </row>
    <row r="17" ht="100.8" spans="1:29">
      <c r="A17" s="17">
        <v>4</v>
      </c>
      <c r="B17" s="18" t="s">
        <v>105</v>
      </c>
      <c r="C17" s="17" t="s">
        <v>106</v>
      </c>
      <c r="D17" s="21" t="s">
        <v>107</v>
      </c>
      <c r="E17" s="18" t="s">
        <v>108</v>
      </c>
      <c r="F17" s="17" t="s">
        <v>61</v>
      </c>
      <c r="G17" s="18" t="s">
        <v>109</v>
      </c>
      <c r="H17" s="18" t="s">
        <v>110</v>
      </c>
      <c r="I17" s="17">
        <v>3</v>
      </c>
      <c r="J17" s="18" t="s">
        <v>111</v>
      </c>
      <c r="K17" s="17">
        <v>4</v>
      </c>
      <c r="L17" s="18" t="s">
        <v>112</v>
      </c>
      <c r="M17" s="11">
        <f>IFERROR([1]!RiskAssessment[[#This Row],[Likelihood]]*[1]!RiskAssessment[[#This Row],[Impact]],"Calculated")</f>
        <v>12</v>
      </c>
      <c r="N17" s="11" t="str">
        <f t="shared" si="0"/>
        <v> HIGH</v>
      </c>
      <c r="O17" s="17" t="s">
        <v>66</v>
      </c>
      <c r="P17" s="18" t="s">
        <v>113</v>
      </c>
      <c r="Q17" s="18" t="s">
        <v>114</v>
      </c>
      <c r="R17" s="18">
        <v>45000</v>
      </c>
      <c r="S17" s="18" t="s">
        <v>115</v>
      </c>
      <c r="T17" s="18" t="s">
        <v>116</v>
      </c>
      <c r="U17" s="19">
        <v>0.8</v>
      </c>
      <c r="V17" s="17" t="s">
        <v>71</v>
      </c>
      <c r="W17" s="17">
        <v>1</v>
      </c>
      <c r="X17" s="18" t="s">
        <v>117</v>
      </c>
      <c r="Y17" s="17">
        <v>2</v>
      </c>
      <c r="Z17" s="17" t="s">
        <v>118</v>
      </c>
      <c r="AA17" s="11">
        <f>IFERROR([1]!RiskAssessment[[#This Row],[Post-Treatment Likelihood]]*[1]!RiskAssessment[[#This Row],[Post- Treatment Impact]],"Calculated")</f>
        <v>2</v>
      </c>
      <c r="AB17" s="11" t="str">
        <f t="shared" si="1"/>
        <v> LOW</v>
      </c>
      <c r="AC17" s="17" t="s">
        <v>119</v>
      </c>
    </row>
    <row r="18" ht="115.2" spans="1:29">
      <c r="A18" s="17">
        <v>5</v>
      </c>
      <c r="B18" s="18" t="s">
        <v>120</v>
      </c>
      <c r="C18" s="18" t="s">
        <v>121</v>
      </c>
      <c r="D18" s="21" t="s">
        <v>122</v>
      </c>
      <c r="E18" s="21" t="s">
        <v>123</v>
      </c>
      <c r="F18" s="17" t="s">
        <v>79</v>
      </c>
      <c r="G18" s="18" t="s">
        <v>62</v>
      </c>
      <c r="H18" s="18" t="s">
        <v>124</v>
      </c>
      <c r="I18" s="17">
        <v>4</v>
      </c>
      <c r="J18" s="18" t="s">
        <v>125</v>
      </c>
      <c r="K18" s="17">
        <v>3</v>
      </c>
      <c r="L18" s="18" t="s">
        <v>126</v>
      </c>
      <c r="M18" s="11">
        <f>IFERROR([1]!RiskAssessment[[#This Row],[Likelihood]]*[1]!RiskAssessment[[#This Row],[Impact]],"Calculated")</f>
        <v>12</v>
      </c>
      <c r="N18" s="11" t="str">
        <f t="shared" si="0"/>
        <v> HIGH</v>
      </c>
      <c r="O18" s="17" t="s">
        <v>66</v>
      </c>
      <c r="P18" s="18" t="s">
        <v>127</v>
      </c>
      <c r="Q18" s="18" t="s">
        <v>128</v>
      </c>
      <c r="R18" s="18">
        <v>12000</v>
      </c>
      <c r="S18" s="18" t="s">
        <v>129</v>
      </c>
      <c r="T18" s="18" t="s">
        <v>130</v>
      </c>
      <c r="U18" s="19">
        <v>1</v>
      </c>
      <c r="V18" s="17" t="s">
        <v>131</v>
      </c>
      <c r="W18" s="17">
        <v>1</v>
      </c>
      <c r="X18" s="18" t="s">
        <v>132</v>
      </c>
      <c r="Y18" s="17">
        <v>2</v>
      </c>
      <c r="Z18" s="18" t="s">
        <v>133</v>
      </c>
      <c r="AA18" s="11">
        <f>IFERROR([1]!RiskAssessment[[#This Row],[Post-Treatment Likelihood]]*[1]!RiskAssessment[[#This Row],[Post- Treatment Impact]],"Calculated")</f>
        <v>2</v>
      </c>
      <c r="AB18" s="11" t="str">
        <f t="shared" si="1"/>
        <v> LOW</v>
      </c>
      <c r="AC18" s="17" t="s">
        <v>134</v>
      </c>
    </row>
    <row r="19" ht="72" spans="1:29">
      <c r="A19" s="17">
        <v>6</v>
      </c>
      <c r="B19" s="18" t="s">
        <v>135</v>
      </c>
      <c r="C19" s="18" t="s">
        <v>136</v>
      </c>
      <c r="D19" s="18" t="s">
        <v>137</v>
      </c>
      <c r="E19" s="18" t="s">
        <v>138</v>
      </c>
      <c r="F19" s="17" t="s">
        <v>61</v>
      </c>
      <c r="G19" s="18" t="s">
        <v>94</v>
      </c>
      <c r="H19" s="18" t="s">
        <v>139</v>
      </c>
      <c r="I19" s="17">
        <v>3</v>
      </c>
      <c r="J19" s="18" t="s">
        <v>140</v>
      </c>
      <c r="K19" s="17">
        <v>3</v>
      </c>
      <c r="L19" s="18" t="s">
        <v>141</v>
      </c>
      <c r="M19" s="11">
        <f>IFERROR([1]!RiskAssessment[[#This Row],[Likelihood]]*[1]!RiskAssessment[[#This Row],[Impact]],"Calculated")</f>
        <v>9</v>
      </c>
      <c r="N19" s="11" t="str">
        <f t="shared" si="0"/>
        <v> MEDIUM</v>
      </c>
      <c r="O19" s="17" t="s">
        <v>66</v>
      </c>
      <c r="P19" s="18" t="s">
        <v>142</v>
      </c>
      <c r="Q19" s="18" t="s">
        <v>143</v>
      </c>
      <c r="R19" s="18">
        <v>10000</v>
      </c>
      <c r="S19" s="18" t="s">
        <v>144</v>
      </c>
      <c r="T19" s="18" t="s">
        <v>70</v>
      </c>
      <c r="U19" s="19">
        <v>0.9</v>
      </c>
      <c r="V19" s="17" t="s">
        <v>71</v>
      </c>
      <c r="W19" s="17">
        <v>1</v>
      </c>
      <c r="X19" s="17" t="s">
        <v>145</v>
      </c>
      <c r="Y19" s="17">
        <v>2</v>
      </c>
      <c r="Z19" s="17" t="s">
        <v>146</v>
      </c>
      <c r="AA19" s="11">
        <f>IFERROR([1]!RiskAssessment[[#This Row],[Post-Treatment Likelihood]]*[1]!RiskAssessment[[#This Row],[Post- Treatment Impact]],"Calculated")</f>
        <v>2</v>
      </c>
      <c r="AB19" s="11" t="str">
        <f t="shared" si="1"/>
        <v> LOW</v>
      </c>
      <c r="AC19" s="17" t="s">
        <v>147</v>
      </c>
    </row>
    <row r="20" ht="115.2" spans="1:29">
      <c r="A20" s="17">
        <v>7</v>
      </c>
      <c r="B20" s="18" t="s">
        <v>148</v>
      </c>
      <c r="C20" s="17" t="s">
        <v>149</v>
      </c>
      <c r="D20" s="21" t="s">
        <v>150</v>
      </c>
      <c r="E20" s="18" t="s">
        <v>151</v>
      </c>
      <c r="F20" s="17" t="s">
        <v>93</v>
      </c>
      <c r="G20" s="17" t="s">
        <v>109</v>
      </c>
      <c r="H20" s="18" t="s">
        <v>152</v>
      </c>
      <c r="I20" s="17">
        <v>4</v>
      </c>
      <c r="J20" s="18" t="s">
        <v>153</v>
      </c>
      <c r="K20" s="17">
        <v>4</v>
      </c>
      <c r="L20" s="18" t="s">
        <v>154</v>
      </c>
      <c r="M20" s="11">
        <f>IFERROR([1]!RiskAssessment[[#This Row],[Likelihood]]*[1]!RiskAssessment[[#This Row],[Impact]],"Calculated")</f>
        <v>16</v>
      </c>
      <c r="N20" s="11" t="str">
        <f t="shared" si="0"/>
        <v> HIGH</v>
      </c>
      <c r="O20" s="17" t="s">
        <v>66</v>
      </c>
      <c r="P20" s="18" t="s">
        <v>155</v>
      </c>
      <c r="Q20" s="18" t="s">
        <v>156</v>
      </c>
      <c r="R20" s="18">
        <v>120000</v>
      </c>
      <c r="S20" s="18" t="s">
        <v>157</v>
      </c>
      <c r="T20" s="18" t="s">
        <v>158</v>
      </c>
      <c r="U20" s="19">
        <v>0.3</v>
      </c>
      <c r="V20" s="17" t="s">
        <v>71</v>
      </c>
      <c r="W20" s="17">
        <v>1</v>
      </c>
      <c r="X20" s="17" t="s">
        <v>159</v>
      </c>
      <c r="Y20" s="17">
        <v>3</v>
      </c>
      <c r="Z20" s="17" t="s">
        <v>160</v>
      </c>
      <c r="AA20" s="11">
        <f>IFERROR([1]!RiskAssessment[[#This Row],[Post-Treatment Likelihood]]*[1]!RiskAssessment[[#This Row],[Post- Treatment Impact]],"Calculated")</f>
        <v>3</v>
      </c>
      <c r="AB20" s="11" t="str">
        <f t="shared" si="1"/>
        <v> LOW</v>
      </c>
      <c r="AC20" s="17" t="s">
        <v>161</v>
      </c>
    </row>
    <row r="21" ht="86.4" spans="1:29">
      <c r="A21" s="17">
        <v>8</v>
      </c>
      <c r="B21" s="17" t="s">
        <v>162</v>
      </c>
      <c r="C21" s="17" t="s">
        <v>163</v>
      </c>
      <c r="D21" s="18" t="s">
        <v>164</v>
      </c>
      <c r="E21" s="18" t="s">
        <v>165</v>
      </c>
      <c r="F21" s="17" t="s">
        <v>61</v>
      </c>
      <c r="G21" s="18" t="s">
        <v>62</v>
      </c>
      <c r="H21" s="18" t="s">
        <v>166</v>
      </c>
      <c r="I21" s="17">
        <v>3</v>
      </c>
      <c r="J21" s="18" t="s">
        <v>167</v>
      </c>
      <c r="K21" s="17">
        <v>4</v>
      </c>
      <c r="L21" s="18" t="s">
        <v>168</v>
      </c>
      <c r="M21" s="11">
        <f>IFERROR([1]!RiskAssessment[[#This Row],[Likelihood]]*[1]!RiskAssessment[[#This Row],[Impact]],"Calculated")</f>
        <v>12</v>
      </c>
      <c r="N21" s="11" t="str">
        <f t="shared" si="0"/>
        <v> HIGH</v>
      </c>
      <c r="O21" s="17" t="s">
        <v>66</v>
      </c>
      <c r="P21" s="18" t="s">
        <v>169</v>
      </c>
      <c r="Q21" s="18" t="s">
        <v>170</v>
      </c>
      <c r="R21" s="18">
        <v>30000</v>
      </c>
      <c r="S21" s="18" t="s">
        <v>171</v>
      </c>
      <c r="T21" s="18" t="s">
        <v>101</v>
      </c>
      <c r="U21" s="19">
        <v>0.35</v>
      </c>
      <c r="V21" s="17" t="s">
        <v>71</v>
      </c>
      <c r="W21" s="17">
        <v>1</v>
      </c>
      <c r="X21" s="17" t="s">
        <v>172</v>
      </c>
      <c r="Y21" s="17">
        <v>3</v>
      </c>
      <c r="Z21" s="17" t="s">
        <v>173</v>
      </c>
      <c r="AA21" s="11">
        <f>IFERROR([1]!RiskAssessment[[#This Row],[Post-Treatment Likelihood]]*[1]!RiskAssessment[[#This Row],[Post- Treatment Impact]],"Calculated")</f>
        <v>3</v>
      </c>
      <c r="AB21" s="11" t="str">
        <f t="shared" si="1"/>
        <v> LOW</v>
      </c>
      <c r="AC21" s="17" t="s">
        <v>174</v>
      </c>
    </row>
    <row r="22" ht="115.2" spans="1:29">
      <c r="A22" s="17">
        <v>9</v>
      </c>
      <c r="B22" s="17" t="s">
        <v>105</v>
      </c>
      <c r="C22" s="17" t="s">
        <v>175</v>
      </c>
      <c r="D22" s="18" t="s">
        <v>176</v>
      </c>
      <c r="E22" s="21" t="s">
        <v>177</v>
      </c>
      <c r="F22" s="17" t="s">
        <v>61</v>
      </c>
      <c r="G22" s="18" t="s">
        <v>178</v>
      </c>
      <c r="H22" s="18" t="s">
        <v>179</v>
      </c>
      <c r="I22" s="17">
        <v>3</v>
      </c>
      <c r="J22" s="18" t="s">
        <v>180</v>
      </c>
      <c r="K22" s="17">
        <v>4</v>
      </c>
      <c r="L22" s="18" t="s">
        <v>181</v>
      </c>
      <c r="M22" s="11">
        <f>IFERROR([1]!RiskAssessment[[#This Row],[Likelihood]]*[1]!RiskAssessment[[#This Row],[Impact]],"Calculated")</f>
        <v>12</v>
      </c>
      <c r="N22" s="11" t="str">
        <f t="shared" si="0"/>
        <v> HIGH</v>
      </c>
      <c r="O22" s="17" t="s">
        <v>66</v>
      </c>
      <c r="P22" s="18" t="s">
        <v>182</v>
      </c>
      <c r="Q22" s="18" t="s">
        <v>183</v>
      </c>
      <c r="R22" s="18">
        <v>60000</v>
      </c>
      <c r="S22" s="18" t="s">
        <v>184</v>
      </c>
      <c r="T22" s="18" t="s">
        <v>158</v>
      </c>
      <c r="U22" s="19">
        <v>0.2</v>
      </c>
      <c r="V22" s="17" t="s">
        <v>71</v>
      </c>
      <c r="W22" s="17">
        <v>1</v>
      </c>
      <c r="X22" s="17" t="s">
        <v>185</v>
      </c>
      <c r="Y22" s="17">
        <v>3</v>
      </c>
      <c r="Z22" s="17" t="s">
        <v>186</v>
      </c>
      <c r="AA22" s="11">
        <f>IFERROR([1]!RiskAssessment[[#This Row],[Post-Treatment Likelihood]]*[1]!RiskAssessment[[#This Row],[Post- Treatment Impact]],"Calculated")</f>
        <v>3</v>
      </c>
      <c r="AB22" s="11" t="str">
        <f t="shared" si="1"/>
        <v> LOW</v>
      </c>
      <c r="AC22" s="17" t="s">
        <v>187</v>
      </c>
    </row>
    <row r="23" ht="100.8" spans="1:29">
      <c r="A23" s="17">
        <v>10</v>
      </c>
      <c r="B23" s="18" t="s">
        <v>188</v>
      </c>
      <c r="C23" s="18" t="s">
        <v>189</v>
      </c>
      <c r="D23" s="18" t="s">
        <v>190</v>
      </c>
      <c r="E23" s="18" t="s">
        <v>191</v>
      </c>
      <c r="F23" s="17" t="s">
        <v>93</v>
      </c>
      <c r="G23" s="18" t="s">
        <v>62</v>
      </c>
      <c r="H23" s="18" t="s">
        <v>192</v>
      </c>
      <c r="I23" s="17">
        <v>3</v>
      </c>
      <c r="J23" s="18" t="s">
        <v>193</v>
      </c>
      <c r="K23" s="17">
        <v>4</v>
      </c>
      <c r="L23" s="18" t="s">
        <v>194</v>
      </c>
      <c r="M23" s="11">
        <f>IFERROR([1]!RiskAssessment[[#This Row],[Likelihood]]*[1]!RiskAssessment[[#This Row],[Impact]],"Calculated")</f>
        <v>12</v>
      </c>
      <c r="N23" s="11" t="str">
        <f t="shared" si="0"/>
        <v> HIGH</v>
      </c>
      <c r="O23" s="17" t="s">
        <v>66</v>
      </c>
      <c r="P23" s="18" t="s">
        <v>195</v>
      </c>
      <c r="Q23" s="18" t="s">
        <v>196</v>
      </c>
      <c r="R23" s="18">
        <v>40000</v>
      </c>
      <c r="S23" s="18" t="s">
        <v>197</v>
      </c>
      <c r="T23" s="18" t="s">
        <v>101</v>
      </c>
      <c r="U23" s="19">
        <v>0.45</v>
      </c>
      <c r="V23" s="17" t="s">
        <v>71</v>
      </c>
      <c r="W23" s="17">
        <v>1</v>
      </c>
      <c r="X23" s="17" t="s">
        <v>198</v>
      </c>
      <c r="Y23" s="17">
        <v>2</v>
      </c>
      <c r="Z23" s="17" t="s">
        <v>199</v>
      </c>
      <c r="AA23" s="11">
        <f>IFERROR([1]!RiskAssessment[[#This Row],[Post-Treatment Likelihood]]*[1]!RiskAssessment[[#This Row],[Post- Treatment Impact]],"Calculated")</f>
        <v>2</v>
      </c>
      <c r="AB23" s="11" t="str">
        <f t="shared" si="1"/>
        <v> LOW</v>
      </c>
      <c r="AC23" s="18" t="s">
        <v>200</v>
      </c>
    </row>
    <row r="24" spans="1:29">
      <c r="A24" s="17"/>
      <c r="B24" s="17"/>
      <c r="C24" s="17"/>
      <c r="D24" s="21"/>
      <c r="E24" s="21"/>
      <c r="F24" s="17"/>
      <c r="G24" s="17"/>
      <c r="H24" s="17"/>
      <c r="I24" s="17"/>
      <c r="J24" s="17"/>
      <c r="K24" s="17"/>
      <c r="L24" s="17"/>
      <c r="M24" s="11"/>
      <c r="N24" s="11"/>
      <c r="O24" s="17"/>
      <c r="P24" s="17"/>
      <c r="Q24" s="17"/>
      <c r="R24" s="22"/>
      <c r="S24" s="17"/>
      <c r="T24" s="17"/>
      <c r="U24" s="17"/>
      <c r="V24" s="17"/>
      <c r="W24" s="17"/>
      <c r="X24" s="17"/>
      <c r="Y24" s="17"/>
      <c r="Z24" s="17"/>
      <c r="AA24" s="11"/>
      <c r="AB24" s="11"/>
      <c r="AC24" s="17"/>
    </row>
    <row r="25" spans="1:29">
      <c r="A25" s="17"/>
      <c r="B25" s="17"/>
      <c r="C25" s="17"/>
      <c r="D25" s="21"/>
      <c r="E25" s="21"/>
      <c r="F25" s="17"/>
      <c r="G25" s="17"/>
      <c r="H25" s="17"/>
      <c r="I25" s="17"/>
      <c r="J25" s="17"/>
      <c r="K25" s="17"/>
      <c r="L25" s="17"/>
      <c r="M25" s="11"/>
      <c r="N25" s="11"/>
      <c r="O25" s="17"/>
      <c r="P25" s="17"/>
      <c r="Q25" s="17"/>
      <c r="R25" s="22"/>
      <c r="S25" s="17"/>
      <c r="T25" s="17"/>
      <c r="U25" s="17"/>
      <c r="V25" s="17"/>
      <c r="W25" s="17"/>
      <c r="X25" s="17"/>
      <c r="Y25" s="17"/>
      <c r="Z25" s="17"/>
      <c r="AA25" s="11"/>
      <c r="AB25" s="11"/>
      <c r="AC25" s="17"/>
    </row>
  </sheetData>
  <mergeCells count="4">
    <mergeCell ref="A12:G12"/>
    <mergeCell ref="H12:N12"/>
    <mergeCell ref="O12:V12"/>
    <mergeCell ref="W12:AC12"/>
  </mergeCells>
  <conditionalFormatting sqref="N14:N25 AB14:AB25">
    <cfRule type="cellIs" dxfId="0" priority="2" operator="equal">
      <formula>" HIGH"</formula>
    </cfRule>
    <cfRule type="cellIs" dxfId="1" priority="3" operator="equal">
      <formula>" MEDIUM"</formula>
    </cfRule>
    <cfRule type="cellIs" dxfId="2" priority="4" operator="equal">
      <formula>" LOW"</formula>
    </cfRule>
  </conditionalFormatting>
  <conditionalFormatting sqref="P14:AA25">
    <cfRule type="expression" dxfId="3" priority="1">
      <formula>$O14="Accept"</formula>
    </cfRule>
  </conditionalFormatting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Assessment Details</vt:lpstr>
      <vt:lpstr>Risk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MK</cp:lastModifiedBy>
  <dcterms:created xsi:type="dcterms:W3CDTF">2026-09-18T19:16:52Z</dcterms:created>
  <dcterms:modified xsi:type="dcterms:W3CDTF">2026-09-18T19:22:20Z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1963B8B6261A4231B8BFDF333BE8240B_11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